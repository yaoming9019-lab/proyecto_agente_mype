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" sheetId="1" r:id="rId1"/>
    <sheet name="ER" sheetId="2" r:id="rId2"/>
    <sheet name="LEEME" sheetId="3" r:id="rId3"/>
    <sheet name="Diccionario" sheetId="4" r:id="rId4"/>
  </sheets>
  <calcPr calcId="124519" fullCalcOnLoad="1"/>
</workbook>
</file>

<file path=xl/sharedStrings.xml><?xml version="1.0" encoding="utf-8"?>
<sst xmlns="http://schemas.openxmlformats.org/spreadsheetml/2006/main" count="100" uniqueCount="48">
  <si>
    <t>codigo_mype</t>
  </si>
  <si>
    <t>periodo</t>
  </si>
  <si>
    <t>activo_corriente</t>
  </si>
  <si>
    <t>activo_no_corriente</t>
  </si>
  <si>
    <t>pasivo_corriente</t>
  </si>
  <si>
    <t>pasivo_no_corriente</t>
  </si>
  <si>
    <t>patrimonio</t>
  </si>
  <si>
    <t>efectivo</t>
  </si>
  <si>
    <t>activo_total</t>
  </si>
  <si>
    <t>pasivo_total</t>
  </si>
  <si>
    <t>validacion_balance</t>
  </si>
  <si>
    <t>ingresos</t>
  </si>
  <si>
    <t>costos</t>
  </si>
  <si>
    <t>gastos</t>
  </si>
  <si>
    <t>utilidad</t>
  </si>
  <si>
    <t>utilidad_calc</t>
  </si>
  <si>
    <t>validacion_er</t>
  </si>
  <si>
    <t>LEEME</t>
  </si>
  <si>
    <t>1) Use esta plantilla con datos ANONIMIZADOS (codigo_mype: MYP-001, MYP-002, …).</t>
  </si>
  <si>
    <t>2) Formato de 'periodo': YYYY-MM (ej.: 2024-12).</t>
  </si>
  <si>
    <t>3) ESF: Las celdas 'activo_total' y 'pasivo_total' se calculan automáticamente.</t>
  </si>
  <si>
    <t>4) ESF: 'validacion_balance' muestra OK si Activo Total = Pasivo Total + Patrimonio, de lo contrario ERROR.</t>
  </si>
  <si>
    <t>5) ER: 'utilidad_calc' = ingresos - costos - gastos; 'validacion_er' compara utilidad ingresada vs calculada.</t>
  </si>
  <si>
    <t>6) Ingrese números sin comas ni símbolos; use punto decimal si aplica.</t>
  </si>
  <si>
    <t>7) Guarde el archivo y súbalo al panel (Streamlit) para procesar.</t>
  </si>
  <si>
    <t>Columna</t>
  </si>
  <si>
    <t>Hoja</t>
  </si>
  <si>
    <t>Descripción</t>
  </si>
  <si>
    <t>ESF/ER</t>
  </si>
  <si>
    <t>ESF</t>
  </si>
  <si>
    <t>ER</t>
  </si>
  <si>
    <t>Código anonimizado de la MYPE (MYP-XXX).</t>
  </si>
  <si>
    <t>Periodo contable en formato YYYY-MM (p. ej., 2024-12).</t>
  </si>
  <si>
    <t>Activo corriente.</t>
  </si>
  <si>
    <t>Activo no corriente.</t>
  </si>
  <si>
    <t>Pasivo corriente.</t>
  </si>
  <si>
    <t>Pasivo no corriente.</t>
  </si>
  <si>
    <t>Patrimonio.</t>
  </si>
  <si>
    <t>Efectivo y equivalentes.</t>
  </si>
  <si>
    <t>Suma: activo_corriente + activo_no_corriente (fórmula).</t>
  </si>
  <si>
    <t>Suma: pasivo_corriente + pasivo_no_corriente (fórmula).</t>
  </si>
  <si>
    <t>Valida: Activo total = Pasivo total + Patrimonio (OK/ERROR).</t>
  </si>
  <si>
    <t>Ingresos del periodo.</t>
  </si>
  <si>
    <t>Costos del periodo.</t>
  </si>
  <si>
    <t>Gastos del periodo.</t>
  </si>
  <si>
    <t>Utilidad reportada por el usuario (opcional).</t>
  </si>
  <si>
    <t>Utilidad calculada: ingresos - costos - gastos (fórmula).</t>
  </si>
  <si>
    <t>Compara utilidad vs utilidad_calc (OK/REVISAR).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</si>
</sst>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8" width="16.7109375" style="1" customWidth="1"/>
    <col min="9" max="10" width="14.7109375" customWidth="1"/>
    <col min="11" max="11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I2" s="1">
        <f>C2+D2</f>
        <v>0</v>
      </c>
      <c r="J2" s="1">
        <f>E2+F2</f>
        <v>0</v>
      </c>
      <c r="K2">
        <f>IF(ROUND(I2,2)=ROUND(J2+G2,2),"OK","ERROR")</f>
        <v>0</v>
      </c>
    </row>
  </sheetData>
  <conditionalFormatting sqref="K2:K1000">
    <cfRule type="containsText" dxfId="0" priority="1" operator="containsText" text="ERROR">
      <formula>NOT(ISERROR(SEARCH("ERROR",K2)))</formula>
    </cfRule>
  </conditionalFormatting>
  <dataValidations count="1">
    <dataValidation type="textLength" allowBlank="1" showInputMessage="1" showErrorMessage="1" promptTitle="Periodo (YYYY-MM)" prompt="Ej.: 2024-12" sqref="B2:B1000">
      <formula1>7</formula1>
      <formula2>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0.7109375" customWidth="1"/>
    <col min="3" max="7" width="16.7109375" style="1" customWidth="1"/>
    <col min="8" max="8" width="16.7109375" customWidth="1"/>
  </cols>
  <sheetData>
    <row r="1" spans="1:8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G2" s="1">
        <f>C2-D2-E2</f>
        <v>0</v>
      </c>
      <c r="H2">
        <f>IF(AND(NOT(ISBLANK(F2)),ROUND(F2,2)=ROUND(G2,2)),"OK",IF(ISBLANK(F2),"OK","REVISAR"))</f>
        <v>0</v>
      </c>
    </row>
  </sheetData>
  <conditionalFormatting sqref="H2:H1000">
    <cfRule type="containsText" dxfId="0" priority="1" operator="containsText" text="REVISAR">
      <formula>NOT(ISERROR(SEARCH("REVISAR",H2)))</formula>
    </cfRule>
  </conditionalFormatting>
  <dataValidations count="1">
    <dataValidation type="textLength" allowBlank="1" showInputMessage="1" showErrorMessage="1" promptTitle="Periodo (YYYY-MM)" prompt="Ej.: 2024-12" sqref="B2:B1000">
      <formula1>7</formula1>
      <formula2>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10.7109375" customWidth="1"/>
  </cols>
  <sheetData>
    <row r="1" spans="1:1">
      <c r="A1" s="3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3" width="38.7109375" customWidth="1"/>
  </cols>
  <sheetData>
    <row r="1" spans="1:3">
      <c r="A1" s="3" t="s">
        <v>25</v>
      </c>
      <c r="B1" s="3" t="s">
        <v>26</v>
      </c>
      <c r="C1" s="3" t="s">
        <v>27</v>
      </c>
    </row>
    <row r="2" spans="1:3">
      <c r="A2" t="s">
        <v>0</v>
      </c>
      <c r="B2" t="s">
        <v>28</v>
      </c>
      <c r="C2" t="s">
        <v>31</v>
      </c>
    </row>
    <row r="3" spans="1:3">
      <c r="A3" t="s">
        <v>1</v>
      </c>
      <c r="B3" t="s">
        <v>28</v>
      </c>
      <c r="C3" t="s">
        <v>32</v>
      </c>
    </row>
    <row r="4" spans="1:3">
      <c r="A4" t="s">
        <v>2</v>
      </c>
      <c r="B4" t="s">
        <v>29</v>
      </c>
      <c r="C4" t="s">
        <v>33</v>
      </c>
    </row>
    <row r="5" spans="1:3">
      <c r="A5" t="s">
        <v>3</v>
      </c>
      <c r="B5" t="s">
        <v>29</v>
      </c>
      <c r="C5" t="s">
        <v>34</v>
      </c>
    </row>
    <row r="6" spans="1:3">
      <c r="A6" t="s">
        <v>4</v>
      </c>
      <c r="B6" t="s">
        <v>29</v>
      </c>
      <c r="C6" t="s">
        <v>35</v>
      </c>
    </row>
    <row r="7" spans="1:3">
      <c r="A7" t="s">
        <v>5</v>
      </c>
      <c r="B7" t="s">
        <v>29</v>
      </c>
      <c r="C7" t="s">
        <v>36</v>
      </c>
    </row>
    <row r="8" spans="1:3">
      <c r="A8" t="s">
        <v>6</v>
      </c>
      <c r="B8" t="s">
        <v>29</v>
      </c>
      <c r="C8" t="s">
        <v>37</v>
      </c>
    </row>
    <row r="9" spans="1:3">
      <c r="A9" t="s">
        <v>7</v>
      </c>
      <c r="B9" t="s">
        <v>29</v>
      </c>
      <c r="C9" t="s">
        <v>38</v>
      </c>
    </row>
    <row r="10" spans="1:3">
      <c r="A10" t="s">
        <v>8</v>
      </c>
      <c r="B10" t="s">
        <v>29</v>
      </c>
      <c r="C10" t="s">
        <v>39</v>
      </c>
    </row>
    <row r="11" spans="1:3">
      <c r="A11" t="s">
        <v>9</v>
      </c>
      <c r="B11" t="s">
        <v>29</v>
      </c>
      <c r="C11" t="s">
        <v>40</v>
      </c>
    </row>
    <row r="12" spans="1:3">
      <c r="A12" t="s">
        <v>10</v>
      </c>
      <c r="B12" t="s">
        <v>29</v>
      </c>
      <c r="C12" t="s">
        <v>41</v>
      </c>
    </row>
    <row r="13" spans="1:3">
      <c r="A13" t="s">
        <v>11</v>
      </c>
      <c r="B13" t="s">
        <v>30</v>
      </c>
      <c r="C13" t="s">
        <v>42</v>
      </c>
    </row>
    <row r="14" spans="1:3">
      <c r="A14" t="s">
        <v>12</v>
      </c>
      <c r="B14" t="s">
        <v>30</v>
      </c>
      <c r="C14" t="s">
        <v>43</v>
      </c>
    </row>
    <row r="15" spans="1:3">
      <c r="A15" t="s">
        <v>13</v>
      </c>
      <c r="B15" t="s">
        <v>30</v>
      </c>
      <c r="C15" t="s">
        <v>44</v>
      </c>
    </row>
    <row r="16" spans="1:3">
      <c r="A16" t="s">
        <v>14</v>
      </c>
      <c r="B16" t="s">
        <v>30</v>
      </c>
      <c r="C16" t="s">
        <v>45</v>
      </c>
    </row>
    <row r="17" spans="1:3">
      <c r="A17" t="s">
        <v>15</v>
      </c>
      <c r="B17" t="s">
        <v>30</v>
      </c>
      <c r="C17" t="s">
        <v>46</v>
      </c>
    </row>
    <row r="18" spans="1:3">
      <c r="A18" t="s">
        <v>16</v>
      </c>
      <c r="B18" t="s">
        <v>30</v>
      </c>
      <c r="C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ESF</vt:lpstr>
      <vt:lpstr>ER</vt:lpstr>
      <vt:lpstr>LEEME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2025-10-18T21:42:16Z</dcterms:created>
  <dcterms:modified xsi:type="dcterms:W3CDTF">2025-10-18T21:42:16Z</dcterms:modified>
</cp:coreProperties>
</file>
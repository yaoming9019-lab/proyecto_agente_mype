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UC\PROYECTO 1\"/>
    </mc:Choice>
  </mc:AlternateContent>
  <xr:revisionPtr revIDLastSave="0" documentId="8_{B5D209BD-9324-4BC4-A52A-FBDA0AC25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definedNames>
    <definedName name="_xlnm.Print_Area" localSheetId="0">Presupuesto!$A$1:$O$52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I22" i="1"/>
  <c r="K41" i="1"/>
  <c r="K36" i="1"/>
  <c r="K32" i="1"/>
  <c r="H40" i="1" l="1"/>
  <c r="H35" i="1"/>
  <c r="I35" i="1" s="1"/>
  <c r="H27" i="1"/>
  <c r="I27" i="1" s="1"/>
  <c r="J40" i="1" l="1"/>
  <c r="J35" i="1"/>
  <c r="J27" i="1"/>
  <c r="H21" i="1"/>
  <c r="H24" i="1"/>
  <c r="I24" i="1" s="1"/>
  <c r="I21" i="1" l="1"/>
  <c r="M20" i="1" s="1"/>
  <c r="H44" i="1"/>
  <c r="H43" i="1"/>
  <c r="H39" i="1"/>
  <c r="J39" i="1" s="1"/>
  <c r="H41" i="1"/>
  <c r="J41" i="1" s="1"/>
  <c r="H38" i="1"/>
  <c r="H31" i="1"/>
  <c r="I31" i="1" s="1"/>
  <c r="H32" i="1"/>
  <c r="J32" i="1" s="1"/>
  <c r="H33" i="1"/>
  <c r="I33" i="1" s="1"/>
  <c r="H34" i="1"/>
  <c r="I34" i="1" s="1"/>
  <c r="H36" i="1"/>
  <c r="J36" i="1" s="1"/>
  <c r="H30" i="1"/>
  <c r="J30" i="1" s="1"/>
  <c r="H25" i="1"/>
  <c r="J25" i="1" s="1"/>
  <c r="H26" i="1"/>
  <c r="H28" i="1"/>
  <c r="J24" i="1"/>
  <c r="H22" i="1"/>
  <c r="J22" i="1" s="1"/>
  <c r="J21" i="1" l="1"/>
  <c r="I38" i="1"/>
  <c r="M37" i="1" s="1"/>
  <c r="I44" i="1"/>
  <c r="J44" i="1" s="1"/>
  <c r="I43" i="1"/>
  <c r="J43" i="1" s="1"/>
  <c r="I26" i="1"/>
  <c r="J26" i="1" s="1"/>
  <c r="I28" i="1"/>
  <c r="J33" i="1"/>
  <c r="I45" i="1"/>
  <c r="D50" i="1" s="1"/>
  <c r="K28" i="1" s="1"/>
  <c r="K25" i="1"/>
  <c r="K40" i="1"/>
  <c r="K39" i="1"/>
  <c r="J31" i="1"/>
  <c r="H45" i="1"/>
  <c r="M23" i="1" l="1"/>
  <c r="J34" i="1"/>
  <c r="J38" i="1"/>
  <c r="K27" i="1"/>
  <c r="J28" i="1"/>
  <c r="K21" i="1"/>
  <c r="N20" i="1"/>
  <c r="O20" i="1" s="1"/>
  <c r="K35" i="1"/>
  <c r="K22" i="1"/>
  <c r="N23" i="1"/>
  <c r="O23" i="1" s="1"/>
  <c r="N37" i="1"/>
  <c r="O37" i="1" s="1"/>
  <c r="J45" i="1"/>
  <c r="D51" i="1" s="1"/>
  <c r="D52" i="1" s="1"/>
  <c r="E50" i="1" s="1"/>
  <c r="K24" i="1"/>
  <c r="K26" i="1"/>
  <c r="K43" i="1"/>
  <c r="K38" i="1"/>
  <c r="K44" i="1"/>
  <c r="K34" i="1"/>
  <c r="K31" i="1"/>
  <c r="K33" i="1"/>
  <c r="E51" i="1" l="1"/>
  <c r="E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</author>
  </authors>
  <commentList>
    <comment ref="O20" authorId="0" shapeId="0" xr:uid="{8A109338-29C7-4090-8D8D-A79CDC3C6DE6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  <comment ref="O21" authorId="0" shapeId="0" xr:uid="{3C157A87-DA89-48FA-BD79-D265811447D5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>sobrepaso el porcentaje máximo permitido</t>
        </r>
      </text>
    </comment>
    <comment ref="O23" authorId="0" shapeId="0" xr:uid="{71FAE36C-C059-4811-8DC5-BE0F7E47267C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  <comment ref="O37" authorId="0" shapeId="0" xr:uid="{17BAA421-2343-4168-A5EB-32F9632F36A0}">
      <text>
        <r>
          <rPr>
            <b/>
            <sz val="9"/>
            <color indexed="81"/>
            <rFont val="Tahoma"/>
            <family val="2"/>
          </rPr>
          <t xml:space="preserve">ALERTA </t>
        </r>
        <r>
          <rPr>
            <sz val="9"/>
            <color indexed="81"/>
            <rFont val="Tahoma"/>
            <family val="2"/>
          </rPr>
          <t xml:space="preserve">sobrepaso el porcentaje máximo permitido
</t>
        </r>
      </text>
    </comment>
  </commentList>
</comments>
</file>

<file path=xl/sharedStrings.xml><?xml version="1.0" encoding="utf-8"?>
<sst xmlns="http://schemas.openxmlformats.org/spreadsheetml/2006/main" count="66" uniqueCount="63">
  <si>
    <t>Presupuesto y fuentes de financiamiento</t>
  </si>
  <si>
    <t>Proyecto de investigación:</t>
  </si>
  <si>
    <t>I. Presupuesto:</t>
  </si>
  <si>
    <t>Rubro</t>
  </si>
  <si>
    <t>Descripción del rubro</t>
  </si>
  <si>
    <t>Cantidad</t>
  </si>
  <si>
    <t>Financiamiento</t>
  </si>
  <si>
    <t>Total</t>
  </si>
  <si>
    <t>Otros</t>
  </si>
  <si>
    <t>S/.</t>
  </si>
  <si>
    <t>TOTAL:</t>
  </si>
  <si>
    <t>III. Fuentes de financiación:</t>
  </si>
  <si>
    <t>Institución</t>
  </si>
  <si>
    <t>%</t>
  </si>
  <si>
    <t>Universidad Continental</t>
  </si>
  <si>
    <t>Otra institución 1</t>
  </si>
  <si>
    <t>Firma</t>
  </si>
  <si>
    <t xml:space="preserve">PROGRAMA DE FOMENTO DE INVESTIGACIÓN </t>
  </si>
  <si>
    <t>4.2 Participación en congresos nacionales e Internacionales</t>
  </si>
  <si>
    <t>1. Recursos Humanos</t>
  </si>
  <si>
    <t>2. Contratación de servicios técnicos y de apoyo:</t>
  </si>
  <si>
    <t>1.1.  Incentivo al investigador</t>
  </si>
  <si>
    <t>1.2. Recurso humano de apoyo (técnico, tesista, etc)</t>
  </si>
  <si>
    <t>2.1 Asesores o consultoría especializada (validación de instrumentos, edición de videos, etc).</t>
  </si>
  <si>
    <t>2.2 Servicios de personal de campo, encuestadores</t>
  </si>
  <si>
    <t>2.3 Procesamiento de datos y estadística</t>
  </si>
  <si>
    <t>3. Materiales e insumos de investigación</t>
  </si>
  <si>
    <t>3.1 Equipo de laboratorio</t>
  </si>
  <si>
    <t>3.2 Otros equipos</t>
  </si>
  <si>
    <t>3.3 Reactivos y sustancias diversas</t>
  </si>
  <si>
    <t>3.4  Consumibles de cómputo, sonido o  video</t>
  </si>
  <si>
    <t>4. Gastos de viajes y/o viáticos</t>
  </si>
  <si>
    <t>4.1 Pasajes terrestres o aéreos de los investigadores</t>
  </si>
  <si>
    <t>4.2 Viáticos asociados al viaje de los investigadores</t>
  </si>
  <si>
    <t>5. Gastos de difusión de la Investigación</t>
  </si>
  <si>
    <t>3.5 Compra de libros, Software</t>
  </si>
  <si>
    <t>UC</t>
  </si>
  <si>
    <t>Precio unitario</t>
  </si>
  <si>
    <t>Investigador Principal</t>
  </si>
  <si>
    <t>4.1 Gastos de publicación científica (traducción, APC)</t>
  </si>
  <si>
    <t>%Máximo permitido</t>
  </si>
  <si>
    <t>Observación</t>
  </si>
  <si>
    <t>2.4.1 Otros*</t>
  </si>
  <si>
    <t>2.4.2 Otros*</t>
  </si>
  <si>
    <t>3.6.1  Otros*</t>
  </si>
  <si>
    <t>3.6.2  Otros*</t>
  </si>
  <si>
    <t>4.3.1 Otros*</t>
  </si>
  <si>
    <t>4.3.2 Otros*</t>
  </si>
  <si>
    <t>Agente inteligente para la interpretación de estados financieros en MYPEs: hacia una contabilidad comprensible</t>
  </si>
  <si>
    <t>Palacios Rojas Doris Matilde</t>
  </si>
  <si>
    <t>Incentivo al investigador principal</t>
  </si>
  <si>
    <t>Disco duro externo para respaldo de datos</t>
  </si>
  <si>
    <t>Huancayo, 22 de setiembre de 2025</t>
  </si>
  <si>
    <t>Journal of risk and Financial management, 1766 dolares, Q2 (t/c ref: 3.65)</t>
  </si>
  <si>
    <t>Pasajes locales investigadores para visitas a MYPEs</t>
  </si>
  <si>
    <t>Viáticos por trabajo de campo</t>
  </si>
  <si>
    <t>Dominio .com.pe para demo (12 meses</t>
  </si>
  <si>
    <t>Procesamiento/estadística (comparación Baseline vs Híbrido: H0, IC95%, efecto)</t>
  </si>
  <si>
    <t xml:space="preserve">PGD: anonimización y seguridad (cifrado, 7-Zip, 2FA) </t>
  </si>
  <si>
    <t>Asesoría metodológica (V de Aiken, ajuste instrumento</t>
  </si>
  <si>
    <t>Programador/Analista Python</t>
  </si>
  <si>
    <t>LACCEI, 550 dolares, indexado en scopus</t>
  </si>
  <si>
    <t>Servicios de campo (pilotaje 10 MYPEs)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</si>
</sst>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28" x14ac:knownFonts="1">
    <font>
      <sz val="10"/>
      <color rgb="FF000000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scheme val="minor"/>
    </font>
    <font>
      <sz val="10"/>
      <color theme="1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FFFCC"/>
        <bgColor rgb="FFFFFFCC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C6D9F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rgb="FFDBE5F1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1" fillId="0" borderId="0" xfId="0" applyFont="1" applyAlignment="1">
      <alignment horizontal="left"/>
    </xf>
    <xf numFmtId="0" fontId="7" fillId="4" borderId="7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3" fillId="0" borderId="0" xfId="0" applyFont="1"/>
    <xf numFmtId="0" fontId="0" fillId="9" borderId="14" xfId="0" applyFill="1" applyBorder="1"/>
    <xf numFmtId="0" fontId="10" fillId="9" borderId="14" xfId="0" applyFont="1" applyFill="1" applyBorder="1"/>
    <xf numFmtId="0" fontId="16" fillId="8" borderId="14" xfId="0" applyFont="1" applyFill="1" applyBorder="1" applyAlignment="1">
      <alignment horizontal="left" wrapText="1"/>
    </xf>
    <xf numFmtId="0" fontId="12" fillId="8" borderId="14" xfId="0" applyFont="1" applyFill="1" applyBorder="1" applyAlignment="1">
      <alignment horizontal="left" wrapText="1"/>
    </xf>
    <xf numFmtId="0" fontId="12" fillId="8" borderId="14" xfId="0" applyFont="1" applyFill="1" applyBorder="1" applyAlignment="1">
      <alignment horizontal="left" vertical="top" wrapText="1"/>
    </xf>
    <xf numFmtId="0" fontId="1" fillId="9" borderId="14" xfId="0" applyFont="1" applyFill="1" applyBorder="1" applyAlignment="1">
      <alignment horizontal="center" wrapText="1"/>
    </xf>
    <xf numFmtId="164" fontId="1" fillId="9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left" vertical="center" wrapText="1"/>
    </xf>
    <xf numFmtId="164" fontId="10" fillId="8" borderId="14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14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wrapText="1"/>
    </xf>
    <xf numFmtId="0" fontId="7" fillId="3" borderId="25" xfId="0" applyFont="1" applyFill="1" applyBorder="1" applyAlignment="1">
      <alignment wrapText="1"/>
    </xf>
    <xf numFmtId="0" fontId="7" fillId="3" borderId="26" xfId="0" applyFont="1" applyFill="1" applyBorder="1" applyAlignment="1">
      <alignment wrapText="1"/>
    </xf>
    <xf numFmtId="0" fontId="15" fillId="3" borderId="15" xfId="0" applyFont="1" applyFill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vertical="center" wrapText="1"/>
    </xf>
    <xf numFmtId="4" fontId="14" fillId="5" borderId="1" xfId="0" applyNumberFormat="1" applyFont="1" applyFill="1" applyBorder="1"/>
    <xf numFmtId="10" fontId="14" fillId="4" borderId="3" xfId="0" applyNumberFormat="1" applyFont="1" applyFill="1" applyBorder="1"/>
    <xf numFmtId="4" fontId="14" fillId="0" borderId="1" xfId="0" applyNumberFormat="1" applyFont="1" applyBorder="1"/>
    <xf numFmtId="4" fontId="14" fillId="4" borderId="5" xfId="0" applyNumberFormat="1" applyFont="1" applyFill="1" applyBorder="1"/>
    <xf numFmtId="10" fontId="14" fillId="4" borderId="9" xfId="0" applyNumberFormat="1" applyFont="1" applyFill="1" applyBorder="1"/>
    <xf numFmtId="9" fontId="16" fillId="3" borderId="14" xfId="0" applyNumberFormat="1" applyFont="1" applyFill="1" applyBorder="1" applyAlignment="1">
      <alignment vertical="center" wrapText="1"/>
    </xf>
    <xf numFmtId="9" fontId="17" fillId="9" borderId="14" xfId="0" applyNumberFormat="1" applyFont="1" applyFill="1" applyBorder="1"/>
    <xf numFmtId="0" fontId="17" fillId="9" borderId="14" xfId="0" applyFont="1" applyFill="1" applyBorder="1"/>
    <xf numFmtId="9" fontId="16" fillId="3" borderId="13" xfId="0" applyNumberFormat="1" applyFont="1" applyFill="1" applyBorder="1" applyAlignment="1">
      <alignment wrapText="1"/>
    </xf>
    <xf numFmtId="9" fontId="16" fillId="3" borderId="15" xfId="0" applyNumberFormat="1" applyFont="1" applyFill="1" applyBorder="1" applyAlignment="1">
      <alignment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9" fontId="10" fillId="9" borderId="14" xfId="0" applyNumberFormat="1" applyFont="1" applyFill="1" applyBorder="1"/>
    <xf numFmtId="164" fontId="10" fillId="8" borderId="14" xfId="0" applyNumberFormat="1" applyFont="1" applyFill="1" applyBorder="1" applyAlignment="1">
      <alignment horizontal="center" vertical="center" wrapText="1"/>
    </xf>
    <xf numFmtId="9" fontId="18" fillId="0" borderId="0" xfId="0" applyNumberFormat="1" applyFont="1"/>
    <xf numFmtId="0" fontId="9" fillId="0" borderId="0" xfId="0" applyFont="1"/>
    <xf numFmtId="0" fontId="19" fillId="0" borderId="0" xfId="0" applyFont="1"/>
    <xf numFmtId="0" fontId="20" fillId="0" borderId="0" xfId="0" applyFont="1"/>
    <xf numFmtId="4" fontId="18" fillId="0" borderId="0" xfId="0" applyNumberFormat="1" applyFont="1"/>
    <xf numFmtId="0" fontId="18" fillId="0" borderId="0" xfId="0" applyFont="1"/>
    <xf numFmtId="0" fontId="21" fillId="0" borderId="0" xfId="0" applyFont="1"/>
    <xf numFmtId="0" fontId="22" fillId="0" borderId="0" xfId="0" applyFont="1"/>
    <xf numFmtId="0" fontId="7" fillId="7" borderId="16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wrapText="1"/>
    </xf>
    <xf numFmtId="0" fontId="15" fillId="7" borderId="14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1" fillId="9" borderId="14" xfId="0" applyFont="1" applyFill="1" applyBorder="1" applyAlignment="1">
      <alignment horizontal="left" wrapText="1"/>
    </xf>
    <xf numFmtId="0" fontId="9" fillId="9" borderId="14" xfId="0" applyFont="1" applyFill="1" applyBorder="1"/>
    <xf numFmtId="49" fontId="15" fillId="2" borderId="14" xfId="0" applyNumberFormat="1" applyFont="1" applyFill="1" applyBorder="1" applyAlignment="1">
      <alignment horizontal="center" vertical="center" wrapText="1"/>
    </xf>
    <xf numFmtId="49" fontId="15" fillId="2" borderId="16" xfId="0" applyNumberFormat="1" applyFont="1" applyFill="1" applyBorder="1" applyAlignment="1">
      <alignment horizontal="center" vertical="center" wrapText="1"/>
    </xf>
    <xf numFmtId="49" fontId="15" fillId="2" borderId="17" xfId="0" applyNumberFormat="1" applyFont="1" applyFill="1" applyBorder="1" applyAlignment="1">
      <alignment horizontal="center" vertical="center" wrapText="1"/>
    </xf>
    <xf numFmtId="49" fontId="15" fillId="2" borderId="18" xfId="0" applyNumberFormat="1" applyFont="1" applyFill="1" applyBorder="1" applyAlignment="1">
      <alignment horizontal="center" vertical="center" wrapText="1"/>
    </xf>
    <xf numFmtId="49" fontId="15" fillId="2" borderId="19" xfId="0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 wrapText="1"/>
    </xf>
    <xf numFmtId="49" fontId="15" fillId="2" borderId="21" xfId="0" applyNumberFormat="1" applyFont="1" applyFill="1" applyBorder="1" applyAlignment="1">
      <alignment horizontal="center" vertical="center" wrapText="1"/>
    </xf>
    <xf numFmtId="49" fontId="15" fillId="2" borderId="22" xfId="0" applyNumberFormat="1" applyFont="1" applyFill="1" applyBorder="1" applyAlignment="1">
      <alignment horizontal="center" vertical="center" wrapText="1"/>
    </xf>
    <xf numFmtId="49" fontId="15" fillId="2" borderId="23" xfId="0" applyNumberFormat="1" applyFont="1" applyFill="1" applyBorder="1" applyAlignment="1">
      <alignment horizontal="center" vertical="center" wrapText="1"/>
    </xf>
    <xf numFmtId="0" fontId="26" fillId="10" borderId="29" xfId="1" applyFont="1" applyFill="1" applyBorder="1" applyAlignment="1">
      <alignment horizontal="left" wrapText="1"/>
    </xf>
    <xf numFmtId="0" fontId="27" fillId="0" borderId="30" xfId="1" applyFont="1" applyBorder="1"/>
    <xf numFmtId="0" fontId="27" fillId="0" borderId="2" xfId="1" applyFont="1" applyBorder="1"/>
    <xf numFmtId="0" fontId="12" fillId="0" borderId="0" xfId="0" applyFont="1" applyAlignment="1">
      <alignment horizontal="center"/>
    </xf>
    <xf numFmtId="0" fontId="10" fillId="8" borderId="14" xfId="0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0" fontId="9" fillId="0" borderId="14" xfId="0" applyFont="1" applyBorder="1"/>
    <xf numFmtId="0" fontId="11" fillId="0" borderId="14" xfId="0" applyFont="1" applyBorder="1" applyAlignment="1">
      <alignment horizontal="center"/>
    </xf>
    <xf numFmtId="0" fontId="7" fillId="3" borderId="27" xfId="0" applyFont="1" applyFill="1" applyBorder="1" applyAlignment="1">
      <alignment horizontal="left" vertical="center" wrapText="1"/>
    </xf>
    <xf numFmtId="0" fontId="26" fillId="10" borderId="29" xfId="1" applyFont="1" applyFill="1" applyBorder="1" applyAlignment="1">
      <alignment horizontal="center"/>
    </xf>
    <xf numFmtId="0" fontId="27" fillId="0" borderId="30" xfId="1" applyFont="1" applyBorder="1" applyAlignment="1">
      <alignment horizontal="center"/>
    </xf>
    <xf numFmtId="0" fontId="27" fillId="0" borderId="2" xfId="1" applyFont="1" applyBorder="1" applyAlignment="1">
      <alignment horizontal="center"/>
    </xf>
    <xf numFmtId="0" fontId="12" fillId="6" borderId="8" xfId="0" applyFont="1" applyFill="1" applyBorder="1" applyAlignment="1">
      <alignment horizontal="left"/>
    </xf>
    <xf numFmtId="0" fontId="9" fillId="0" borderId="2" xfId="0" applyFont="1" applyBorder="1"/>
    <xf numFmtId="0" fontId="7" fillId="4" borderId="12" xfId="0" applyFont="1" applyFill="1" applyBorder="1" applyAlignment="1">
      <alignment horizontal="left"/>
    </xf>
    <xf numFmtId="0" fontId="9" fillId="0" borderId="4" xfId="0" applyFont="1" applyBorder="1"/>
    <xf numFmtId="0" fontId="7" fillId="4" borderId="6" xfId="0" applyFont="1" applyFill="1" applyBorder="1" applyAlignment="1">
      <alignment horizontal="left"/>
    </xf>
    <xf numFmtId="0" fontId="9" fillId="0" borderId="10" xfId="0" applyFont="1" applyBorder="1"/>
    <xf numFmtId="0" fontId="12" fillId="4" borderId="8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2F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9526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1"/>
  <sheetViews>
    <sheetView tabSelected="1" topLeftCell="A12" zoomScaleNormal="100" workbookViewId="0">
      <selection activeCell="G22" sqref="G22"/>
    </sheetView>
  </sheetViews>
  <sheetFormatPr baseColWidth="10" defaultColWidth="14.42578125" defaultRowHeight="15" customHeight="1" x14ac:dyDescent="0.2"/>
  <cols>
    <col min="1" max="1" width="3.5703125" customWidth="1"/>
    <col min="2" max="2" width="50" customWidth="1"/>
    <col min="3" max="3" width="18.85546875" customWidth="1"/>
    <col min="4" max="4" width="17.7109375" customWidth="1"/>
    <col min="5" max="5" width="19.5703125" customWidth="1"/>
    <col min="6" max="6" width="7" customWidth="1"/>
    <col min="7" max="7" width="16.85546875" customWidth="1"/>
    <col min="8" max="8" width="16.85546875" style="30" customWidth="1"/>
    <col min="9" max="10" width="14.42578125" customWidth="1"/>
    <col min="11" max="11" width="9.5703125" customWidth="1"/>
    <col min="12" max="12" width="11.42578125" customWidth="1"/>
    <col min="13" max="14" width="4.42578125" style="60" customWidth="1"/>
    <col min="15" max="15" width="14.7109375" style="56" customWidth="1"/>
    <col min="16" max="16" width="21.5703125" customWidth="1"/>
    <col min="17" max="27" width="11.42578125" customWidth="1"/>
  </cols>
  <sheetData>
    <row r="1" spans="1:10" ht="15" customHeight="1" x14ac:dyDescent="0.2">
      <c r="A1" s="1"/>
      <c r="D1" s="2"/>
    </row>
    <row r="2" spans="1:10" ht="15" customHeight="1" x14ac:dyDescent="0.2">
      <c r="A2" s="1"/>
      <c r="D2" s="2"/>
    </row>
    <row r="3" spans="1:10" ht="18.600000000000001" customHeight="1" x14ac:dyDescent="0.2">
      <c r="A3" s="3"/>
      <c r="B3" s="3"/>
      <c r="C3" s="3"/>
      <c r="D3" s="3"/>
      <c r="E3" s="3"/>
      <c r="F3" s="3"/>
      <c r="G3" s="3"/>
      <c r="H3" s="29"/>
      <c r="I3" s="3"/>
      <c r="J3" s="3"/>
    </row>
    <row r="4" spans="1:10" x14ac:dyDescent="0.2">
      <c r="A4" s="4"/>
      <c r="B4" s="4"/>
      <c r="C4" s="4"/>
      <c r="D4" s="4"/>
      <c r="E4" s="4"/>
      <c r="F4" s="4"/>
      <c r="G4" s="4"/>
      <c r="H4" s="29"/>
      <c r="I4" s="4"/>
      <c r="J4" s="4"/>
    </row>
    <row r="5" spans="1:10" ht="18" x14ac:dyDescent="0.25">
      <c r="A5" s="5" t="s">
        <v>17</v>
      </c>
      <c r="B5" s="6"/>
      <c r="C5" s="6"/>
      <c r="D5" s="6"/>
      <c r="E5" s="6"/>
      <c r="F5" s="6"/>
      <c r="G5" s="6"/>
      <c r="H5" s="13"/>
      <c r="I5" s="6"/>
      <c r="J5" s="6"/>
    </row>
    <row r="6" spans="1:10" ht="20.25" x14ac:dyDescent="0.3">
      <c r="A6" s="7" t="s">
        <v>0</v>
      </c>
      <c r="B6" s="8"/>
      <c r="C6" s="8"/>
      <c r="D6" s="8"/>
      <c r="E6" s="8"/>
      <c r="F6" s="8"/>
      <c r="G6" s="8"/>
      <c r="H6" s="31"/>
      <c r="I6" s="8"/>
      <c r="J6" s="8"/>
    </row>
    <row r="7" spans="1:10" ht="12.75" customHeight="1" x14ac:dyDescent="0.3">
      <c r="A7" s="7"/>
      <c r="B7" s="8"/>
      <c r="C7" s="8"/>
      <c r="D7" s="8"/>
      <c r="E7" s="8"/>
      <c r="F7" s="8"/>
      <c r="G7" s="8"/>
      <c r="H7" s="31"/>
      <c r="I7" s="8"/>
      <c r="J7" s="8"/>
    </row>
    <row r="8" spans="1:10" ht="16.5" customHeight="1" x14ac:dyDescent="0.25">
      <c r="A8" s="9" t="s">
        <v>1</v>
      </c>
      <c r="B8" s="10"/>
      <c r="C8" s="10"/>
      <c r="D8" s="10"/>
      <c r="E8" s="10"/>
      <c r="F8" s="10"/>
    </row>
    <row r="9" spans="1:10" ht="16.5" customHeight="1" x14ac:dyDescent="0.2">
      <c r="A9" s="86" t="s">
        <v>48</v>
      </c>
      <c r="B9" s="87"/>
      <c r="C9" s="87"/>
      <c r="D9" s="87"/>
      <c r="E9" s="87"/>
      <c r="F9" s="87"/>
      <c r="G9" s="87"/>
      <c r="H9" s="87"/>
      <c r="I9" s="87"/>
      <c r="J9" s="87"/>
    </row>
    <row r="10" spans="1:10" ht="16.5" customHeight="1" x14ac:dyDescent="0.2">
      <c r="A10" s="87"/>
      <c r="B10" s="87"/>
      <c r="C10" s="87"/>
      <c r="D10" s="87"/>
      <c r="E10" s="87"/>
      <c r="F10" s="87"/>
      <c r="G10" s="87"/>
      <c r="H10" s="87"/>
      <c r="I10" s="87"/>
      <c r="J10" s="87"/>
    </row>
    <row r="11" spans="1:10" ht="16.5" customHeight="1" x14ac:dyDescent="0.2">
      <c r="A11" s="11"/>
      <c r="B11" s="1"/>
      <c r="C11" s="1"/>
      <c r="D11" s="1"/>
      <c r="E11" s="1"/>
      <c r="F11" s="1"/>
    </row>
    <row r="12" spans="1:10" ht="16.5" customHeight="1" x14ac:dyDescent="0.25">
      <c r="A12" s="9" t="s">
        <v>38</v>
      </c>
      <c r="B12" s="1"/>
      <c r="C12" s="1"/>
      <c r="D12" s="1"/>
      <c r="E12" s="1"/>
      <c r="F12" s="1"/>
    </row>
    <row r="13" spans="1:10" ht="16.5" customHeight="1" x14ac:dyDescent="0.2">
      <c r="A13" s="88" t="s">
        <v>49</v>
      </c>
      <c r="B13" s="88"/>
      <c r="C13" s="88"/>
      <c r="D13" s="88"/>
      <c r="E13" s="88"/>
      <c r="F13" s="88"/>
      <c r="G13" s="88"/>
      <c r="H13" s="88"/>
      <c r="I13" s="88"/>
      <c r="J13" s="88"/>
    </row>
    <row r="14" spans="1:10" ht="16.5" customHeight="1" x14ac:dyDescent="0.25">
      <c r="A14" s="12"/>
      <c r="B14" s="12"/>
      <c r="C14" s="12"/>
      <c r="D14" s="12"/>
      <c r="E14" s="12"/>
      <c r="F14" s="12"/>
      <c r="G14" s="12"/>
      <c r="H14" s="13"/>
      <c r="I14" s="12"/>
      <c r="J14" s="12"/>
    </row>
    <row r="15" spans="1:10" ht="16.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6.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27" ht="15" customHeight="1" x14ac:dyDescent="0.25">
      <c r="A17" s="9" t="s">
        <v>2</v>
      </c>
      <c r="B17" s="14"/>
      <c r="C17" s="14"/>
      <c r="D17" s="14"/>
      <c r="E17" s="14"/>
      <c r="F17" s="14"/>
      <c r="G17" s="14"/>
      <c r="H17" s="32"/>
    </row>
    <row r="18" spans="1:27" ht="15.75" customHeight="1" x14ac:dyDescent="0.2">
      <c r="A18" s="14"/>
      <c r="B18" s="73" t="s">
        <v>3</v>
      </c>
      <c r="C18" s="75" t="s">
        <v>4</v>
      </c>
      <c r="D18" s="76"/>
      <c r="E18" s="77"/>
      <c r="F18" s="72" t="s">
        <v>5</v>
      </c>
      <c r="G18" s="73" t="s">
        <v>37</v>
      </c>
      <c r="H18" s="52" t="s">
        <v>7</v>
      </c>
      <c r="I18" s="72" t="s">
        <v>6</v>
      </c>
      <c r="J18" s="72"/>
      <c r="K18" s="66" t="s">
        <v>13</v>
      </c>
      <c r="L18" s="65" t="s">
        <v>40</v>
      </c>
      <c r="M18" s="61"/>
      <c r="N18" s="61"/>
      <c r="O18" s="63" t="s">
        <v>41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">
      <c r="A19" s="14"/>
      <c r="B19" s="74"/>
      <c r="C19" s="78"/>
      <c r="D19" s="79"/>
      <c r="E19" s="80"/>
      <c r="F19" s="72"/>
      <c r="G19" s="74"/>
      <c r="H19" s="52" t="s">
        <v>9</v>
      </c>
      <c r="I19" s="52" t="s">
        <v>36</v>
      </c>
      <c r="J19" s="52" t="s">
        <v>8</v>
      </c>
      <c r="K19" s="66"/>
      <c r="L19" s="65"/>
      <c r="M19" s="61"/>
      <c r="N19" s="55"/>
      <c r="O19" s="6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2">
      <c r="B20" s="67" t="s">
        <v>19</v>
      </c>
      <c r="C20" s="68"/>
      <c r="D20" s="68"/>
      <c r="E20" s="68"/>
      <c r="F20" s="68"/>
      <c r="G20" s="68"/>
      <c r="H20" s="68"/>
      <c r="I20" s="68"/>
      <c r="J20" s="69"/>
      <c r="K20" s="47"/>
      <c r="L20" s="47">
        <v>0.2</v>
      </c>
      <c r="M20" s="59">
        <f>+I21+I22</f>
        <v>4380</v>
      </c>
      <c r="N20" s="55">
        <f>IF(M20&gt;0,M20/$D$50,0)</f>
        <v>0.2</v>
      </c>
      <c r="O20" s="55">
        <f>+N20</f>
        <v>0.2</v>
      </c>
      <c r="Q20" s="2"/>
    </row>
    <row r="21" spans="1:27" ht="14.25" x14ac:dyDescent="0.2">
      <c r="B21" s="22" t="s">
        <v>21</v>
      </c>
      <c r="C21" s="70" t="s">
        <v>50</v>
      </c>
      <c r="D21" s="71"/>
      <c r="E21" s="71"/>
      <c r="F21" s="25">
        <v>1</v>
      </c>
      <c r="G21" s="26">
        <v>4380</v>
      </c>
      <c r="H21" s="26">
        <f>F21*G21</f>
        <v>4380</v>
      </c>
      <c r="I21" s="26">
        <f>+H21</f>
        <v>4380</v>
      </c>
      <c r="J21" s="26">
        <f>+H21-I21</f>
        <v>0</v>
      </c>
      <c r="K21" s="48">
        <f>IF(I21&gt;0,I21/$D$50,0)</f>
        <v>0.2</v>
      </c>
      <c r="L21" s="48"/>
      <c r="M21" s="59"/>
      <c r="N21" s="55"/>
      <c r="O21" s="55"/>
    </row>
    <row r="22" spans="1:27" ht="28.5" x14ac:dyDescent="0.2">
      <c r="B22" s="22" t="s">
        <v>22</v>
      </c>
      <c r="C22" s="70"/>
      <c r="D22" s="71"/>
      <c r="E22" s="71"/>
      <c r="F22" s="25"/>
      <c r="G22" s="26"/>
      <c r="H22" s="26">
        <f>F22*G22</f>
        <v>0</v>
      </c>
      <c r="I22" s="26">
        <f>+H22</f>
        <v>0</v>
      </c>
      <c r="J22" s="26">
        <f>+H22-I22</f>
        <v>0</v>
      </c>
      <c r="K22" s="48">
        <f>IF(I22&gt;0,I22/$D$50,0)</f>
        <v>0</v>
      </c>
      <c r="L22" s="49"/>
      <c r="N22" s="55"/>
    </row>
    <row r="23" spans="1:27" ht="30" x14ac:dyDescent="0.25">
      <c r="B23" s="36" t="s">
        <v>20</v>
      </c>
      <c r="C23" s="37"/>
      <c r="D23" s="37"/>
      <c r="E23" s="37"/>
      <c r="F23" s="37"/>
      <c r="G23" s="37"/>
      <c r="H23" s="37"/>
      <c r="I23" s="37"/>
      <c r="J23" s="38"/>
      <c r="K23" s="50"/>
      <c r="L23" s="50">
        <v>0.3</v>
      </c>
      <c r="M23" s="59">
        <f>+I24+I25+I26+I27+I28</f>
        <v>6560</v>
      </c>
      <c r="N23" s="55">
        <f>IF(M23&gt;0,M23/$D$50,0)</f>
        <v>0.29954337899543376</v>
      </c>
      <c r="O23" s="55">
        <f>+N23</f>
        <v>0.29954337899543376</v>
      </c>
    </row>
    <row r="24" spans="1:27" ht="28.5" x14ac:dyDescent="0.2">
      <c r="B24" s="23" t="s">
        <v>23</v>
      </c>
      <c r="C24" s="81" t="s">
        <v>59</v>
      </c>
      <c r="D24" s="82"/>
      <c r="E24" s="83"/>
      <c r="F24" s="25">
        <v>4</v>
      </c>
      <c r="G24" s="26">
        <v>180</v>
      </c>
      <c r="H24" s="26">
        <f>F24*G24</f>
        <v>720</v>
      </c>
      <c r="I24" s="26">
        <f>+H24</f>
        <v>720</v>
      </c>
      <c r="J24" s="26">
        <f>+H24-I24</f>
        <v>0</v>
      </c>
      <c r="K24" s="48">
        <f>IF(I24&gt;0,I24/$D$50,0)</f>
        <v>3.287671232876712E-2</v>
      </c>
      <c r="L24" s="20"/>
    </row>
    <row r="25" spans="1:27" ht="28.5" x14ac:dyDescent="0.2">
      <c r="B25" s="23" t="s">
        <v>24</v>
      </c>
      <c r="C25" s="81" t="s">
        <v>62</v>
      </c>
      <c r="D25" s="82"/>
      <c r="E25" s="83"/>
      <c r="F25" s="25">
        <v>4</v>
      </c>
      <c r="G25" s="26">
        <v>220</v>
      </c>
      <c r="H25" s="26">
        <f t="shared" ref="H25:H28" si="0">F25*G25</f>
        <v>880</v>
      </c>
      <c r="I25" s="26">
        <v>0</v>
      </c>
      <c r="J25" s="26">
        <f t="shared" ref="J25:J28" si="1">+H25-I25</f>
        <v>880</v>
      </c>
      <c r="K25" s="48">
        <f>IF(I25&gt;0,I25/$D$50,0)</f>
        <v>0</v>
      </c>
      <c r="L25" s="20"/>
    </row>
    <row r="26" spans="1:27" ht="17.25" customHeight="1" x14ac:dyDescent="0.2">
      <c r="B26" s="23" t="s">
        <v>25</v>
      </c>
      <c r="C26" s="81" t="s">
        <v>57</v>
      </c>
      <c r="D26" s="82"/>
      <c r="E26" s="83"/>
      <c r="F26" s="25">
        <v>16</v>
      </c>
      <c r="G26" s="26">
        <v>90</v>
      </c>
      <c r="H26" s="26">
        <f t="shared" si="0"/>
        <v>1440</v>
      </c>
      <c r="I26" s="26">
        <f>+H26</f>
        <v>1440</v>
      </c>
      <c r="J26" s="26">
        <f t="shared" si="1"/>
        <v>0</v>
      </c>
      <c r="K26" s="48">
        <f>IF(I26&gt;0,I26/$D$50,0)</f>
        <v>6.575342465753424E-2</v>
      </c>
      <c r="L26" s="20"/>
    </row>
    <row r="27" spans="1:27" ht="17.25" customHeight="1" x14ac:dyDescent="0.2">
      <c r="B27" s="23" t="s">
        <v>42</v>
      </c>
      <c r="C27" s="81" t="s">
        <v>58</v>
      </c>
      <c r="D27" s="82"/>
      <c r="E27" s="83"/>
      <c r="F27" s="25">
        <v>10</v>
      </c>
      <c r="G27" s="26">
        <v>80</v>
      </c>
      <c r="H27" s="26">
        <f t="shared" ref="H27" si="2">F27*G27</f>
        <v>800</v>
      </c>
      <c r="I27" s="26">
        <f>+H27</f>
        <v>800</v>
      </c>
      <c r="J27" s="26">
        <f t="shared" ref="J27" si="3">+H27-I27</f>
        <v>0</v>
      </c>
      <c r="K27" s="48">
        <f>IF(I27&gt;0,I27/$D$50,0)</f>
        <v>3.6529680365296802E-2</v>
      </c>
      <c r="L27" s="20"/>
    </row>
    <row r="28" spans="1:27" ht="17.25" customHeight="1" x14ac:dyDescent="0.2">
      <c r="B28" s="23" t="s">
        <v>43</v>
      </c>
      <c r="C28" s="70" t="s">
        <v>60</v>
      </c>
      <c r="D28" s="71"/>
      <c r="E28" s="71"/>
      <c r="F28" s="25">
        <v>1</v>
      </c>
      <c r="G28" s="26">
        <v>3600</v>
      </c>
      <c r="H28" s="26">
        <f t="shared" si="0"/>
        <v>3600</v>
      </c>
      <c r="I28" s="26">
        <f>+H28</f>
        <v>3600</v>
      </c>
      <c r="J28" s="26">
        <f t="shared" si="1"/>
        <v>0</v>
      </c>
      <c r="K28" s="48">
        <f>IF(I28&gt;0,I28/$D$50,0)</f>
        <v>0.16438356164383561</v>
      </c>
      <c r="L28" s="20"/>
    </row>
    <row r="29" spans="1:27" x14ac:dyDescent="0.2">
      <c r="B29" s="67" t="s">
        <v>26</v>
      </c>
      <c r="C29" s="68"/>
      <c r="D29" s="68"/>
      <c r="E29" s="68"/>
      <c r="F29" s="68"/>
      <c r="G29" s="68"/>
      <c r="H29" s="68"/>
      <c r="I29" s="68"/>
      <c r="J29" s="69"/>
      <c r="K29" s="35"/>
      <c r="L29" s="35"/>
    </row>
    <row r="30" spans="1:27" ht="20.25" customHeight="1" x14ac:dyDescent="0.2">
      <c r="B30" s="24" t="s">
        <v>27</v>
      </c>
      <c r="C30" s="70"/>
      <c r="D30" s="71"/>
      <c r="E30" s="71"/>
      <c r="F30" s="25"/>
      <c r="G30" s="26"/>
      <c r="H30" s="26">
        <f>F30*G30</f>
        <v>0</v>
      </c>
      <c r="I30" s="26">
        <v>0</v>
      </c>
      <c r="J30" s="26">
        <f>+H30-I30</f>
        <v>0</v>
      </c>
      <c r="K30" s="48">
        <f t="shared" ref="K30:K36" si="4">IF(I30&gt;0,I30/$D$50,0)</f>
        <v>0</v>
      </c>
      <c r="L30" s="20"/>
    </row>
    <row r="31" spans="1:27" ht="20.25" customHeight="1" x14ac:dyDescent="0.2">
      <c r="B31" s="23" t="s">
        <v>28</v>
      </c>
      <c r="C31" s="90" t="s">
        <v>51</v>
      </c>
      <c r="D31" s="91"/>
      <c r="E31" s="92"/>
      <c r="F31" s="25">
        <v>1</v>
      </c>
      <c r="G31" s="26">
        <v>300</v>
      </c>
      <c r="H31" s="26">
        <f t="shared" ref="H31:H36" si="5">F31*G31</f>
        <v>300</v>
      </c>
      <c r="I31" s="26">
        <f>+H31</f>
        <v>300</v>
      </c>
      <c r="J31" s="26">
        <f t="shared" ref="J31:J36" si="6">+H31-I31</f>
        <v>0</v>
      </c>
      <c r="K31" s="48">
        <f t="shared" si="4"/>
        <v>1.3698630136986301E-2</v>
      </c>
      <c r="L31" s="20"/>
    </row>
    <row r="32" spans="1:27" ht="20.25" customHeight="1" x14ac:dyDescent="0.2">
      <c r="B32" s="23" t="s">
        <v>29</v>
      </c>
      <c r="C32" s="70"/>
      <c r="D32" s="71"/>
      <c r="E32" s="71"/>
      <c r="F32" s="25"/>
      <c r="G32" s="26"/>
      <c r="H32" s="26">
        <f t="shared" si="5"/>
        <v>0</v>
      </c>
      <c r="I32" s="26">
        <v>0</v>
      </c>
      <c r="J32" s="26">
        <f t="shared" si="6"/>
        <v>0</v>
      </c>
      <c r="K32" s="48">
        <f t="shared" si="4"/>
        <v>0</v>
      </c>
      <c r="L32" s="20"/>
    </row>
    <row r="33" spans="1:27" ht="20.25" customHeight="1" x14ac:dyDescent="0.2">
      <c r="B33" s="23" t="s">
        <v>30</v>
      </c>
      <c r="C33" s="70"/>
      <c r="D33" s="71"/>
      <c r="E33" s="71"/>
      <c r="F33" s="25"/>
      <c r="G33" s="26"/>
      <c r="H33" s="26">
        <f t="shared" si="5"/>
        <v>0</v>
      </c>
      <c r="I33" s="26">
        <f>+H33</f>
        <v>0</v>
      </c>
      <c r="J33" s="26">
        <f t="shared" si="6"/>
        <v>0</v>
      </c>
      <c r="K33" s="48">
        <f t="shared" si="4"/>
        <v>0</v>
      </c>
      <c r="L33" s="20"/>
    </row>
    <row r="34" spans="1:27" ht="20.25" customHeight="1" x14ac:dyDescent="0.2">
      <c r="B34" s="23" t="s">
        <v>35</v>
      </c>
      <c r="C34" s="70" t="s">
        <v>56</v>
      </c>
      <c r="D34" s="71"/>
      <c r="E34" s="71"/>
      <c r="F34" s="25">
        <v>1</v>
      </c>
      <c r="G34" s="26">
        <v>120</v>
      </c>
      <c r="H34" s="26">
        <f t="shared" si="5"/>
        <v>120</v>
      </c>
      <c r="I34" s="26">
        <f>+H34</f>
        <v>120</v>
      </c>
      <c r="J34" s="26">
        <f t="shared" si="6"/>
        <v>0</v>
      </c>
      <c r="K34" s="48">
        <f t="shared" si="4"/>
        <v>5.4794520547945206E-3</v>
      </c>
      <c r="L34" s="20"/>
    </row>
    <row r="35" spans="1:27" ht="20.25" customHeight="1" x14ac:dyDescent="0.2">
      <c r="B35" s="23" t="s">
        <v>44</v>
      </c>
      <c r="C35" s="70"/>
      <c r="D35" s="71"/>
      <c r="E35" s="71"/>
      <c r="F35" s="25"/>
      <c r="G35" s="26"/>
      <c r="H35" s="26">
        <f t="shared" ref="H35" si="7">F35*G35</f>
        <v>0</v>
      </c>
      <c r="I35" s="26">
        <f>+H35</f>
        <v>0</v>
      </c>
      <c r="J35" s="26">
        <f t="shared" ref="J35" si="8">+H35-I35</f>
        <v>0</v>
      </c>
      <c r="K35" s="48">
        <f t="shared" si="4"/>
        <v>0</v>
      </c>
      <c r="L35" s="20"/>
    </row>
    <row r="36" spans="1:27" ht="20.25" customHeight="1" x14ac:dyDescent="0.2">
      <c r="B36" s="23" t="s">
        <v>45</v>
      </c>
      <c r="C36" s="70"/>
      <c r="D36" s="71"/>
      <c r="E36" s="71"/>
      <c r="F36" s="25"/>
      <c r="G36" s="26"/>
      <c r="H36" s="26">
        <f t="shared" si="5"/>
        <v>0</v>
      </c>
      <c r="I36" s="26">
        <v>0</v>
      </c>
      <c r="J36" s="26">
        <f t="shared" si="6"/>
        <v>0</v>
      </c>
      <c r="K36" s="48">
        <f t="shared" si="4"/>
        <v>0</v>
      </c>
      <c r="L36" s="20"/>
    </row>
    <row r="37" spans="1:27" x14ac:dyDescent="0.2">
      <c r="B37" s="89" t="s">
        <v>31</v>
      </c>
      <c r="C37" s="68"/>
      <c r="D37" s="68"/>
      <c r="E37" s="68"/>
      <c r="F37" s="68"/>
      <c r="G37" s="68"/>
      <c r="H37" s="68"/>
      <c r="I37" s="68"/>
      <c r="J37" s="68"/>
      <c r="K37" s="51"/>
      <c r="L37" s="51">
        <v>0.1</v>
      </c>
      <c r="M37" s="59">
        <f>+I38+I39+I40+I41</f>
        <v>540</v>
      </c>
      <c r="N37" s="55">
        <f>IF(M37&gt;0,M37/$D$50,0)</f>
        <v>2.4657534246575342E-2</v>
      </c>
      <c r="O37" s="55">
        <f>+N37</f>
        <v>2.4657534246575342E-2</v>
      </c>
    </row>
    <row r="38" spans="1:27" ht="18.75" customHeight="1" x14ac:dyDescent="0.2">
      <c r="B38" s="23" t="s">
        <v>32</v>
      </c>
      <c r="C38" s="81" t="s">
        <v>54</v>
      </c>
      <c r="D38" s="82"/>
      <c r="E38" s="83"/>
      <c r="F38" s="25">
        <v>6</v>
      </c>
      <c r="G38" s="26">
        <v>90</v>
      </c>
      <c r="H38" s="26">
        <f>F38*G38</f>
        <v>540</v>
      </c>
      <c r="I38" s="26">
        <f>+H38</f>
        <v>540</v>
      </c>
      <c r="J38" s="26">
        <f>+H38-I38</f>
        <v>0</v>
      </c>
      <c r="K38" s="48">
        <f>IF(I38&gt;0,I38/$D$50,0)</f>
        <v>2.4657534246575342E-2</v>
      </c>
      <c r="L38" s="20"/>
    </row>
    <row r="39" spans="1:27" ht="18.75" customHeight="1" x14ac:dyDescent="0.2">
      <c r="B39" s="23" t="s">
        <v>33</v>
      </c>
      <c r="C39" s="81" t="s">
        <v>55</v>
      </c>
      <c r="D39" s="82"/>
      <c r="E39" s="83"/>
      <c r="F39" s="25">
        <v>6</v>
      </c>
      <c r="G39" s="26">
        <v>100</v>
      </c>
      <c r="H39" s="26">
        <f t="shared" ref="H39:H41" si="9">F39*G39</f>
        <v>600</v>
      </c>
      <c r="I39" s="26">
        <v>0</v>
      </c>
      <c r="J39" s="26">
        <f t="shared" ref="J39:J41" si="10">+H39-I39</f>
        <v>600</v>
      </c>
      <c r="K39" s="48">
        <f>IF(I39&gt;0,I39/$D$50,0)</f>
        <v>0</v>
      </c>
      <c r="L39" s="20"/>
    </row>
    <row r="40" spans="1:27" ht="18.75" customHeight="1" x14ac:dyDescent="0.2">
      <c r="B40" s="23" t="s">
        <v>46</v>
      </c>
      <c r="C40" s="81"/>
      <c r="D40" s="82"/>
      <c r="E40" s="83"/>
      <c r="F40" s="25"/>
      <c r="G40" s="26"/>
      <c r="H40" s="26">
        <f t="shared" ref="H40" si="11">F40*G40</f>
        <v>0</v>
      </c>
      <c r="I40" s="26">
        <v>0</v>
      </c>
      <c r="J40" s="26">
        <f t="shared" ref="J40" si="12">+H40-I40</f>
        <v>0</v>
      </c>
      <c r="K40" s="48">
        <f>IF(I40&gt;0,I40/$D$50,0)</f>
        <v>0</v>
      </c>
      <c r="L40" s="20"/>
    </row>
    <row r="41" spans="1:27" ht="18.75" customHeight="1" x14ac:dyDescent="0.2">
      <c r="B41" s="23" t="s">
        <v>47</v>
      </c>
      <c r="C41" s="70"/>
      <c r="D41" s="71"/>
      <c r="E41" s="71"/>
      <c r="F41" s="25"/>
      <c r="G41" s="26"/>
      <c r="H41" s="26">
        <f t="shared" si="9"/>
        <v>0</v>
      </c>
      <c r="I41" s="26">
        <v>0</v>
      </c>
      <c r="J41" s="26">
        <f t="shared" si="10"/>
        <v>0</v>
      </c>
      <c r="K41" s="48">
        <f>IF(I41&gt;0,I41/$D$50,0)</f>
        <v>0</v>
      </c>
      <c r="L41" s="20"/>
    </row>
    <row r="42" spans="1:27" ht="15" customHeight="1" x14ac:dyDescent="0.2">
      <c r="B42" s="40" t="s">
        <v>34</v>
      </c>
      <c r="C42" s="41"/>
      <c r="D42" s="41"/>
      <c r="E42" s="41"/>
      <c r="F42" s="41"/>
      <c r="G42" s="41"/>
      <c r="H42" s="41"/>
      <c r="I42" s="41"/>
      <c r="J42" s="41"/>
      <c r="K42" s="39"/>
      <c r="L42" s="39"/>
    </row>
    <row r="43" spans="1:27" ht="28.5" customHeight="1" x14ac:dyDescent="0.2">
      <c r="B43" s="23" t="s">
        <v>39</v>
      </c>
      <c r="C43" s="70" t="s">
        <v>53</v>
      </c>
      <c r="D43" s="71"/>
      <c r="E43" s="71"/>
      <c r="F43" s="25">
        <v>1</v>
      </c>
      <c r="G43" s="26">
        <v>8000</v>
      </c>
      <c r="H43" s="26">
        <f>F43*G43</f>
        <v>8000</v>
      </c>
      <c r="I43" s="26">
        <f>+H43</f>
        <v>8000</v>
      </c>
      <c r="J43" s="26">
        <f>+H43-I43</f>
        <v>0</v>
      </c>
      <c r="K43" s="48">
        <f>IF(I43&gt;0,I43/$D$50,0)</f>
        <v>0.36529680365296802</v>
      </c>
      <c r="L43" s="20"/>
    </row>
    <row r="44" spans="1:27" ht="28.5" x14ac:dyDescent="0.2">
      <c r="B44" s="23" t="s">
        <v>18</v>
      </c>
      <c r="C44" s="70" t="s">
        <v>61</v>
      </c>
      <c r="D44" s="71"/>
      <c r="E44" s="71"/>
      <c r="F44" s="25">
        <v>1</v>
      </c>
      <c r="G44" s="26">
        <v>2000</v>
      </c>
      <c r="H44" s="26">
        <f t="shared" ref="H44" si="13">F44*G44</f>
        <v>2000</v>
      </c>
      <c r="I44" s="26">
        <f>+H44</f>
        <v>2000</v>
      </c>
      <c r="J44" s="26">
        <f t="shared" ref="J44" si="14">+H44-I44</f>
        <v>0</v>
      </c>
      <c r="K44" s="48">
        <f>IF(I44&gt;0,I44/$D$50,0)</f>
        <v>9.1324200913242004E-2</v>
      </c>
      <c r="L44" s="20"/>
    </row>
    <row r="45" spans="1:27" ht="21.75" customHeight="1" x14ac:dyDescent="0.2">
      <c r="A45" s="15"/>
      <c r="B45" s="27" t="s">
        <v>10</v>
      </c>
      <c r="C45" s="85"/>
      <c r="D45" s="71"/>
      <c r="E45" s="71"/>
      <c r="F45" s="25"/>
      <c r="G45" s="26"/>
      <c r="H45" s="54">
        <f>SUM(H21,H22,H24:H28,H30:H36,H38:H41,H43,H44)</f>
        <v>23380</v>
      </c>
      <c r="I45" s="28">
        <f>SUM(I21,I22,I24:I28,I30:I36,I38:I41,I43:I44)</f>
        <v>21900</v>
      </c>
      <c r="J45" s="28">
        <f>SUM(J21,J22,J24:J28,J30:J36,J38:J41,J43:J44)</f>
        <v>1480</v>
      </c>
      <c r="K45" s="21"/>
      <c r="L45" s="53">
        <v>1</v>
      </c>
      <c r="M45" s="62"/>
      <c r="N45" s="62"/>
      <c r="O45" s="58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2.75" customHeight="1" x14ac:dyDescent="0.2">
      <c r="A46" s="16"/>
      <c r="B46" s="16"/>
    </row>
    <row r="47" spans="1:27" ht="12.75" customHeight="1" x14ac:dyDescent="0.2">
      <c r="A47" s="16"/>
      <c r="B47" s="16"/>
    </row>
    <row r="48" spans="1:27" ht="15" customHeight="1" thickBot="1" x14ac:dyDescent="0.3">
      <c r="A48" s="9" t="s">
        <v>11</v>
      </c>
      <c r="B48" s="14"/>
      <c r="C48" s="14"/>
      <c r="D48" s="14"/>
      <c r="E48" s="14"/>
      <c r="F48" s="14"/>
      <c r="G48" s="84" t="s">
        <v>52</v>
      </c>
      <c r="H48" s="84"/>
      <c r="I48" s="84"/>
    </row>
    <row r="49" spans="1:27" ht="15" customHeight="1" x14ac:dyDescent="0.25">
      <c r="A49" s="14"/>
      <c r="B49" s="97" t="s">
        <v>12</v>
      </c>
      <c r="C49" s="98"/>
      <c r="D49" s="17" t="s">
        <v>9</v>
      </c>
      <c r="E49" s="18" t="s">
        <v>13</v>
      </c>
      <c r="F49" s="14"/>
      <c r="H49" s="32"/>
    </row>
    <row r="50" spans="1:27" ht="15" customHeight="1" x14ac:dyDescent="0.2">
      <c r="A50" s="14"/>
      <c r="B50" s="99" t="s">
        <v>14</v>
      </c>
      <c r="C50" s="94"/>
      <c r="D50" s="42">
        <f>I45</f>
        <v>21900</v>
      </c>
      <c r="E50" s="43">
        <f>IF(D50&gt;0,D50/D52,0)</f>
        <v>0.9366980325064157</v>
      </c>
      <c r="F50" s="14"/>
      <c r="G50" s="14"/>
      <c r="H50" s="32"/>
    </row>
    <row r="51" spans="1:27" ht="15" customHeight="1" x14ac:dyDescent="0.2">
      <c r="A51" s="14"/>
      <c r="B51" s="93" t="s">
        <v>15</v>
      </c>
      <c r="C51" s="94"/>
      <c r="D51" s="44">
        <f>J45</f>
        <v>1480</v>
      </c>
      <c r="E51" s="43">
        <f>IF(D51&gt;0,D51/D52,0)</f>
        <v>6.3301967493584257E-2</v>
      </c>
      <c r="F51" s="14"/>
      <c r="G51" s="14" t="s">
        <v>16</v>
      </c>
      <c r="H51" s="33"/>
    </row>
    <row r="52" spans="1:27" ht="15" customHeight="1" x14ac:dyDescent="0.25">
      <c r="A52" s="14"/>
      <c r="B52" s="95" t="s">
        <v>7</v>
      </c>
      <c r="C52" s="96"/>
      <c r="D52" s="45">
        <f t="shared" ref="D52:E52" si="15">SUM(D50:D51)</f>
        <v>23380</v>
      </c>
      <c r="E52" s="46">
        <f t="shared" si="15"/>
        <v>1</v>
      </c>
      <c r="F52" s="14"/>
      <c r="G52" s="14"/>
      <c r="H52" s="32"/>
      <c r="I52" s="19"/>
    </row>
    <row r="53" spans="1:27" ht="15" customHeight="1" x14ac:dyDescent="0.2">
      <c r="A53" s="14"/>
      <c r="B53" s="14"/>
      <c r="C53" s="14"/>
      <c r="D53" s="14"/>
      <c r="E53" s="14"/>
      <c r="F53" s="14"/>
    </row>
    <row r="54" spans="1:27" ht="15" customHeight="1" x14ac:dyDescent="0.2">
      <c r="A54" s="14"/>
      <c r="B54" s="14"/>
      <c r="C54" s="14"/>
      <c r="D54" s="14"/>
      <c r="E54" s="14"/>
      <c r="F54" s="14"/>
    </row>
    <row r="55" spans="1:27" ht="15" customHeight="1" x14ac:dyDescent="0.2">
      <c r="A55" s="14"/>
      <c r="C55" s="14"/>
      <c r="D55" s="14"/>
      <c r="E55" s="14"/>
      <c r="F55" s="14"/>
      <c r="H55" s="32"/>
    </row>
    <row r="56" spans="1:27" ht="12.75" customHeight="1" x14ac:dyDescent="0.2">
      <c r="A56" s="16"/>
      <c r="B56" s="16"/>
      <c r="C56" s="2"/>
      <c r="D56" s="2"/>
      <c r="E56" s="2"/>
      <c r="F56" s="2"/>
      <c r="G56" s="2"/>
      <c r="H56" s="34"/>
      <c r="I56" s="2"/>
      <c r="J56" s="2"/>
    </row>
    <row r="57" spans="1:27" ht="12.75" customHeight="1" x14ac:dyDescent="0.2">
      <c r="A57" s="16"/>
      <c r="B57" s="16"/>
      <c r="C57" s="2"/>
      <c r="D57" s="2"/>
      <c r="E57" s="2"/>
      <c r="F57" s="2"/>
      <c r="G57" s="2"/>
      <c r="H57" s="34"/>
      <c r="I57" s="2"/>
      <c r="J57" s="2"/>
    </row>
    <row r="58" spans="1:27" ht="12.75" customHeight="1" x14ac:dyDescent="0.2">
      <c r="A58" s="16"/>
      <c r="B58" s="16"/>
      <c r="C58" s="2"/>
      <c r="D58" s="2"/>
      <c r="E58" s="2"/>
      <c r="F58" s="2"/>
      <c r="G58" s="2"/>
      <c r="H58" s="34"/>
      <c r="I58" s="2"/>
      <c r="J58" s="2"/>
    </row>
    <row r="59" spans="1:27" ht="12.75" customHeight="1" x14ac:dyDescent="0.2">
      <c r="A59" s="16"/>
      <c r="B59" s="16"/>
      <c r="C59" s="2"/>
      <c r="D59" s="2"/>
      <c r="E59" s="2"/>
      <c r="F59" s="2"/>
      <c r="G59" s="2"/>
      <c r="H59" s="34"/>
      <c r="I59" s="2"/>
      <c r="J59" s="2"/>
    </row>
    <row r="60" spans="1:27" ht="12.75" customHeight="1" x14ac:dyDescent="0.2">
      <c r="A60" s="16"/>
      <c r="B60" s="16"/>
      <c r="C60" s="2"/>
      <c r="D60" s="2"/>
      <c r="E60" s="2"/>
      <c r="F60" s="2"/>
      <c r="G60" s="2"/>
      <c r="H60" s="34"/>
      <c r="I60" s="2"/>
      <c r="J60" s="2"/>
    </row>
    <row r="61" spans="1:27" ht="12.75" customHeight="1" x14ac:dyDescent="0.2">
      <c r="A61" s="16"/>
      <c r="B61" s="16"/>
      <c r="C61" s="2"/>
      <c r="D61" s="2"/>
      <c r="E61" s="2"/>
      <c r="F61" s="2"/>
      <c r="G61" s="2"/>
      <c r="H61" s="34"/>
      <c r="I61" s="2"/>
      <c r="J61" s="2"/>
    </row>
    <row r="62" spans="1:27" ht="12.75" customHeight="1" x14ac:dyDescent="0.2">
      <c r="A62" s="14"/>
      <c r="B62" s="14"/>
      <c r="C62" s="14"/>
      <c r="D62" s="14"/>
      <c r="E62" s="14"/>
      <c r="F62" s="14"/>
      <c r="G62" s="14"/>
      <c r="H62" s="32"/>
      <c r="I62" s="14"/>
      <c r="J62" s="14"/>
      <c r="K62" s="14"/>
      <c r="L62" s="14"/>
      <c r="M62" s="61"/>
      <c r="N62" s="61"/>
      <c r="O62" s="57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">
      <c r="A63" s="14"/>
      <c r="B63" s="14"/>
      <c r="C63" s="14"/>
      <c r="D63" s="14"/>
      <c r="E63" s="14"/>
      <c r="F63" s="14"/>
      <c r="G63" s="14"/>
      <c r="H63" s="32"/>
      <c r="I63" s="14"/>
      <c r="J63" s="14"/>
      <c r="K63" s="14"/>
      <c r="L63" s="14"/>
      <c r="M63" s="61"/>
      <c r="N63" s="61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">
      <c r="B64" s="2"/>
      <c r="C64" s="2"/>
      <c r="D64" s="2"/>
      <c r="F64" s="2"/>
      <c r="G64" s="2"/>
      <c r="H64" s="34"/>
      <c r="I64" s="2"/>
      <c r="J64" s="2"/>
    </row>
    <row r="65" spans="2:10" ht="12.75" customHeight="1" x14ac:dyDescent="0.2">
      <c r="B65" s="2"/>
      <c r="C65" s="2"/>
      <c r="D65" s="2"/>
      <c r="F65" s="2"/>
      <c r="G65" s="2"/>
      <c r="H65" s="34"/>
      <c r="I65" s="2"/>
      <c r="J65" s="2"/>
    </row>
    <row r="66" spans="2:10" ht="12.75" customHeight="1" x14ac:dyDescent="0.2">
      <c r="B66" s="2"/>
      <c r="C66" s="2"/>
      <c r="D66" s="2"/>
      <c r="E66" s="2"/>
      <c r="F66" s="2"/>
      <c r="G66" s="2"/>
      <c r="H66" s="34"/>
      <c r="I66" s="2"/>
      <c r="J66" s="2"/>
    </row>
    <row r="67" spans="2:10" ht="12.75" customHeight="1" x14ac:dyDescent="0.2">
      <c r="B67" s="2"/>
      <c r="C67" s="2"/>
      <c r="D67" s="2"/>
      <c r="E67" s="2"/>
      <c r="F67" s="2"/>
      <c r="G67" s="2"/>
      <c r="H67" s="34"/>
      <c r="I67" s="2"/>
      <c r="J67" s="2"/>
    </row>
    <row r="68" spans="2:10" ht="12.75" customHeight="1" x14ac:dyDescent="0.2">
      <c r="B68" s="2"/>
      <c r="C68" s="2"/>
      <c r="D68" s="2"/>
      <c r="E68" s="2"/>
      <c r="F68" s="2"/>
      <c r="G68" s="2"/>
      <c r="H68" s="34"/>
      <c r="I68" s="2"/>
      <c r="J68" s="2"/>
    </row>
    <row r="69" spans="2:10" ht="12.75" customHeight="1" x14ac:dyDescent="0.2">
      <c r="B69" s="2"/>
      <c r="C69" s="2"/>
      <c r="D69" s="2"/>
      <c r="E69" s="2"/>
      <c r="F69" s="2"/>
      <c r="G69" s="2"/>
      <c r="H69" s="34"/>
      <c r="I69" s="2"/>
      <c r="J69" s="2"/>
    </row>
    <row r="70" spans="2:10" ht="12.75" customHeight="1" x14ac:dyDescent="0.2">
      <c r="B70" s="2"/>
      <c r="C70" s="2"/>
      <c r="D70" s="2"/>
      <c r="E70" s="2"/>
      <c r="F70" s="2"/>
      <c r="G70" s="2"/>
      <c r="H70" s="34"/>
      <c r="I70" s="2"/>
      <c r="J70" s="2"/>
    </row>
    <row r="71" spans="2:10" ht="12.75" customHeight="1" x14ac:dyDescent="0.2">
      <c r="B71" s="2"/>
      <c r="C71" s="2"/>
      <c r="D71" s="2"/>
      <c r="E71" s="2"/>
      <c r="F71" s="2"/>
      <c r="G71" s="2"/>
      <c r="H71" s="34"/>
      <c r="I71" s="2"/>
      <c r="J71" s="2"/>
    </row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</sheetData>
  <sheetProtection algorithmName="SHA-512" hashValue="zE7PPc+qCqdhx5gdbd/IjdrwClU74PazlLaUjUSZIFjKQhzSiCYYpUqQt2Leqld4gz39BVhNmcozaFnA10MXXg==" saltValue="813D+i3WINGq+h15fIydsg==" spinCount="100000" sheet="1" objects="1" scenarios="1"/>
  <protectedRanges>
    <protectedRange sqref="A9 A13 C21:G22 I21:I22 C24:G28 I24:I28 C30:G36 I30:I36 C38:G41 I38:I41 I43:I44 C43:G45 G48:L52" name="Rango1"/>
  </protectedRanges>
  <mergeCells count="39">
    <mergeCell ref="C31:E31"/>
    <mergeCell ref="B51:C51"/>
    <mergeCell ref="B52:C52"/>
    <mergeCell ref="C43:E43"/>
    <mergeCell ref="C44:E44"/>
    <mergeCell ref="B49:C49"/>
    <mergeCell ref="B50:C50"/>
    <mergeCell ref="G48:I48"/>
    <mergeCell ref="C45:E45"/>
    <mergeCell ref="A9:J10"/>
    <mergeCell ref="A13:J13"/>
    <mergeCell ref="B37:J37"/>
    <mergeCell ref="C30:E30"/>
    <mergeCell ref="C32:E32"/>
    <mergeCell ref="C33:E33"/>
    <mergeCell ref="C34:E34"/>
    <mergeCell ref="C36:E36"/>
    <mergeCell ref="C41:E41"/>
    <mergeCell ref="C35:E35"/>
    <mergeCell ref="C38:E38"/>
    <mergeCell ref="C39:E39"/>
    <mergeCell ref="C40:E40"/>
    <mergeCell ref="C24:E24"/>
    <mergeCell ref="O18:O19"/>
    <mergeCell ref="L18:L19"/>
    <mergeCell ref="K18:K19"/>
    <mergeCell ref="B20:J20"/>
    <mergeCell ref="B29:J29"/>
    <mergeCell ref="C21:E21"/>
    <mergeCell ref="C22:E22"/>
    <mergeCell ref="C28:E28"/>
    <mergeCell ref="I18:J18"/>
    <mergeCell ref="F18:F19"/>
    <mergeCell ref="B18:B19"/>
    <mergeCell ref="C18:E19"/>
    <mergeCell ref="G18:G19"/>
    <mergeCell ref="C25:E25"/>
    <mergeCell ref="C26:E26"/>
    <mergeCell ref="C27:E27"/>
  </mergeCells>
  <conditionalFormatting sqref="O20:O21">
    <cfRule type="cellIs" dxfId="3" priority="2" operator="greaterThan">
      <formula>0.2</formula>
    </cfRule>
  </conditionalFormatting>
  <conditionalFormatting sqref="O21">
    <cfRule type="cellIs" dxfId="2" priority="4" operator="greaterThan">
      <formula>0.3</formula>
    </cfRule>
  </conditionalFormatting>
  <conditionalFormatting sqref="O23">
    <cfRule type="cellIs" dxfId="1" priority="1" operator="greaterThan">
      <formula>0.3</formula>
    </cfRule>
  </conditionalFormatting>
  <conditionalFormatting sqref="O37">
    <cfRule type="cellIs" dxfId="0" priority="6" operator="greaterThan">
      <formula>0.1</formula>
    </cfRule>
  </conditionalFormatting>
  <printOptions horizontalCentered="1" verticalCentered="1"/>
  <pageMargins left="7.874015748031496E-2" right="7.874015748031496E-2" top="7.874015748031496E-2" bottom="7.874015748031496E-2" header="0" footer="0"/>
  <pageSetup paperSize="9" scale="6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Docente - Jose Antonio Rojas Guillen</cp:lastModifiedBy>
  <cp:lastPrinted>2025-08-07T21:24:42Z</cp:lastPrinted>
  <dcterms:created xsi:type="dcterms:W3CDTF">2008-08-16T21:50:59Z</dcterms:created>
  <dcterms:modified xsi:type="dcterms:W3CDTF">2025-10-15T04:04:06Z</dcterms:modified>
</cp:coreProperties>
</file>